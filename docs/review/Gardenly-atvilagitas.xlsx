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avaslatok" sheetId="1" state="visible" r:id="rId3"/>
    <sheet name="Összesítő" sheetId="2" state="visible" r:id="rId4"/>
  </sheets>
  <definedNames>
    <definedName function="false" hidden="false" localSheetId="0" name="_xlnm.Print_Titles" vbProcedure="false">Javaslatok!$4:$4</definedName>
    <definedName function="false" hidden="true" localSheetId="0" name="_xlnm._FilterDatabase" vbProcedure="false">Javaslatok!$A$4:$G$31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<sst xmlns="http://schemas.openxmlformats.org/spreadsheetml/2006/main" count="170" uniqueCount="90">
  <si>
    <t xml:space="preserve">Gardenly – átvilágítás: felhasználói élmény, biztonság, szerzői jog</t>
  </si>
  <si>
    <t xml:space="preserve">Készült: 2026-10-30. A jogi pontok tájékoztató jellegűek, nem helyettesítik a jogászt. Kitölthető oszlopok: Állapot (legördülő lista) és Megjegyzés (sárga fejléc).</t>
  </si>
  <si>
    <t xml:space="preserve">#</t>
  </si>
  <si>
    <t xml:space="preserve">Kategória</t>
  </si>
  <si>
    <t xml:space="preserve">Fontosság</t>
  </si>
  <si>
    <t xml:space="preserve">Megfigyelés</t>
  </si>
  <si>
    <t xml:space="preserve">Javaslat</t>
  </si>
  <si>
    <t xml:space="preserve">Állapot</t>
  </si>
  <si>
    <t xml:space="preserve">Megjegyzés</t>
  </si>
  <si>
    <t xml:space="preserve">Funkció</t>
  </si>
  <si>
    <t xml:space="preserve">High</t>
  </si>
  <si>
    <t xml:space="preserve">A terv csak a böngészőben tárolódik. Az iPhone Safari egy nem telepített weboldal adatait kb. 7 nap használaton kívül törölheti. Az alkalmazás nem kér tartós tárhelyet, és nem emlékeztet mentésre.</t>
  </si>
  <si>
    <t xml:space="preserve">Tartós tárhely kérése a böngészőtől, és figyelmeztetés, ha ezt nem kapja meg. Mentés-emlékeztető (pl. hetente vagy nagyobb módosítás után). Egy kattintásos „mentés fájlba”.</t>
  </si>
  <si>
    <t xml:space="preserve">Kész</t>
  </si>
  <si>
    <t xml:space="preserve">Tartós tárhely kérése, mentési állapot, heti emlékeztető, mentés fájlba (0.3.0)</t>
  </si>
  <si>
    <t xml:space="preserve">Jogi szempont</t>
  </si>
  <si>
    <t xml:space="preserve">A „nem mérgező” és „tüske nélkül” szűrők biztonságérzetet adnak (gyerek, kutya, macska), pedig az adatok egy része „ellenőrizendő”.</t>
  </si>
  <si>
    <t xml:space="preserve">Jól látható felelősségkizárás a szűrőnél és az infókártyán: tájékoztató adat, mérgező növénynél kérdezz szakembert. Az adatforrások megnevezése.</t>
  </si>
  <si>
    <t xml:space="preserve">Figyelmeztetés a szűrőnél, infókártyán, terület korlátjánál; adatforrások a Jogi információkban</t>
  </si>
  <si>
    <t xml:space="preserve">A kód nagy részét MI írta. Az EU-s és a magyar szerzői jogban a védelemhez emberi alkotás kell, így a „minden jog fenntartva” hatóköre a kódra bizonytalan.</t>
  </si>
  <si>
    <t xml:space="preserve">Jogászi egyeztetés. A saját alkotói rész dokumentálása (specifikáció, döntések, arculat, növényadatok). Védelem felhasználási feltételekkel és védjeggyel is.</t>
  </si>
  <si>
    <t xml:space="preserve">Nyitott</t>
  </si>
  <si>
    <t xml:space="preserve">A felhasznált nyílt forrású összetevők licencei kötelezően mellékelendők, és ezt a „minden jog fenntartva” nem írhatja felül. Ilyenek: React, Zustand, fflate, Workbox (MIT); idb-keyval (Apache-2.0); a három betűtípus (SIL OFL).</t>
  </si>
  <si>
    <t xml:space="preserve">Harmadik féltől származó licencek listájának automatikus generálása buildkor, link a Névjegyben.</t>
  </si>
  <si>
    <t xml:space="preserve">public/third-party-licenses.txt buildkor generálva, link a Névjegyben</t>
  </si>
  <si>
    <t xml:space="preserve">A Wikipédia/Commons fotók általában CC BY-SA licencűek. Ehhez szerző, licencnév, licenclink és forráslink kell, az infókártyán viszont csak a szerző és a licenc neve látszik.</t>
  </si>
  <si>
    <t xml:space="preserve">Licenc- és forráslink a fotó alá. Ha a fotó exportba kerül, ott is feltüntetni.</t>
  </si>
  <si>
    <t xml:space="preserve">Licenc- és Commons-forráslink az infókártyán és a növényűrlapon</t>
  </si>
  <si>
    <t xml:space="preserve">A „Gardenly” névre nem volt védjegykutatás. Lehet azonos nevű kertészeti alkalmazás vagy cég.</t>
  </si>
  <si>
    <t xml:space="preserve">Kutatás az EUIPO, az SZTNH és az app store-ok adatbázisában még a nyilvános megjelenés előtt. Szükség esetén bejelentés.</t>
  </si>
  <si>
    <t xml:space="preserve">Folyamatban</t>
  </si>
  <si>
    <t xml:space="preserve">Előzetes kutatás: docs/legal/NEVKUTATAS.md – több azonos nevű app és egy USA védjegy; hivatalos kutatás és döntés hátravan</t>
  </si>
  <si>
    <t xml:space="preserve">Felhasználói élmény</t>
  </si>
  <si>
    <t xml:space="preserve">Kis telefonon zsúfolt a felső sáv: 375–390 px-en a terület neve 4–5 betűre rövidül, 320 px-en eltűnik.</t>
  </si>
  <si>
    <t xml:space="preserve">A ritkábban használt gombok (súgó, nézet, téma) egy menübe vagy második sorba. A terület neve maradjon olvasható.</t>
  </si>
  <si>
    <t xml:space="preserve">Biztonság</t>
  </si>
  <si>
    <t xml:space="preserve">Normal</t>
  </si>
  <si>
    <t xml:space="preserve">A CSV/XLSX-exportban a =, +, - vagy @ jellel kezdődő cellák (pl. importált saját növénynévből) Excelben képletként futhatnak le.</t>
  </si>
  <si>
    <t xml:space="preserve">Az ilyen cellák elé aposztróf.</t>
  </si>
  <si>
    <t xml:space="preserve">Aposztróf a képletjellel kezdődő cellák elé (CSV, táblázat másolás), importnál visszaáll</t>
  </si>
  <si>
    <t xml:space="preserve">A mentés és a megosztott link betöltése csak néhány mezőt ellenőriz. Egy hibás vagy szándékosan torzított fájl összeomlaszthatja az alkalmazást. Mivel automatikusan mentődik, indításkor újra összeomolhat.</t>
  </si>
  <si>
    <t xml:space="preserve">Teljes sémaellenőrzés és méretkorlát. Hibakezelő képernyő „Mentés letöltése / Alaphelyzet” lehetőséggel.</t>
  </si>
  <si>
    <t xml:space="preserve">Teljes szerkezeti ellenőrzés és méretkorlát; „Valami elromlott” helyreállító képernyő</t>
  </si>
  <si>
    <t xml:space="preserve">Nincs CSP (tartalombiztonsági szabály).</t>
  </si>
  <si>
    <t xml:space="preserve">CSP meta-tag: csak a saját fájlok, data/blob képek és a Wikimedia-címek engedélyezve.</t>
  </si>
  <si>
    <t xml:space="preserve">CSP meta-tag a buildben, e2e teszt sértés nélkül</t>
  </si>
  <si>
    <t xml:space="preserve">Nyilvános közzétételnél adatvédelmi tájékoztató kell. Az alkalmazás kérést küld a Wikimédiának (IP-cím, latin nevek), a megosztott link a teljes tervet tartalmazza, a ChatGPT-küldésnél a felhasználó továbbítja az adatokat.</t>
  </si>
  <si>
    <t xml:space="preserve">Rövid adatvédelmi tájékoztató az alkalmazásban és a README-ben.</t>
  </si>
  <si>
    <t xml:space="preserve">Adatvédelmi tájékoztató (HU/EN) az alkalmazásban és docs/legal alatt – jogászi átnézés javasolt</t>
  </si>
  <si>
    <t xml:space="preserve">Nincsenek felhasználási feltételek (felelősségkorlátozás, MI-képek, árak és adatok pontossága).</t>
  </si>
  <si>
    <t xml:space="preserve">Rövid felhasználási feltételek a Névjegyben.</t>
  </si>
  <si>
    <t xml:space="preserve">Felhasználási feltételek (HU/EN) – jogászi átnézés javasolt</t>
  </si>
  <si>
    <t xml:space="preserve">Ha a GitHub-tároló nyilvános, a GitHub feltételei szerint mások megnézhetik és forkolhatják, függetlenül a LICENSE fájltól.</t>
  </si>
  <si>
    <t xml:space="preserve">Ha védeni szeretnéd, maradjon privát. A publikus kiadás legyen külön döntés.</t>
  </si>
  <si>
    <t xml:space="preserve">A logó a csatolt referenciakép alapján készült.</t>
  </si>
  <si>
    <t xml:space="preserve">Tisztázni, honnan származik a referenciakép (saját, MI-generált, ügynökségi), és van-e felhasználási jogod rá.</t>
  </si>
  <si>
    <t xml:space="preserve">A helyszín be van égetve (Győr): a gondozási naptár és a látványterv-leírás is erre épül.</t>
  </si>
  <si>
    <t xml:space="preserve">Helyszín vagy klímazóna beállítás a projektben.</t>
  </si>
  <si>
    <t xml:space="preserve">Helyszín és éghajlat beállítás (városok vagy saját fagydátumok)</t>
  </si>
  <si>
    <t xml:space="preserve">A növényadatok egy része „ellenőrizendő”.</t>
  </si>
  <si>
    <t xml:space="preserve">Szakértői átnézés, forrás és dátum mezőnként.</t>
  </si>
  <si>
    <t xml:space="preserve">Eszközök kész: adatforrás, ellenőrzés dátuma, „Ellenőrizendők listája (CSV)”; maga a szakértői átnézés hátravan</t>
  </si>
  <si>
    <t xml:space="preserve">Valódi eszközön nem volt teszt: iPhone/Android megosztó menü a ChatGPT felé, 200+ tő gördülékenysége.</t>
  </si>
  <si>
    <t xml:space="preserve">Tesztelés valódi telefonokon, utána igazítás.</t>
  </si>
  <si>
    <t xml:space="preserve">Kijelölt elemnél az alsó lebegő sáv eltakarja a rajz alját.</t>
  </si>
  <si>
    <t xml:space="preserve">Kisebb sáv, vagy a rajz ennyivel feljebb igazodik.</t>
  </si>
  <si>
    <t xml:space="preserve">Sok funkció menük mélyén van (látványterv, ötletgenerátor, csere, rögzített elemek).</t>
  </si>
  <si>
    <t xml:space="preserve">„Gyors műveletek” gomb vagy kereshető parancslista. Kezdő ellenőrzőlista az első tervhez.</t>
  </si>
  <si>
    <t xml:space="preserve">⚡ Gyors műveletek (Ctrl+K) és „Az első terv lépései” ellenőrzőlista</t>
  </si>
  <si>
    <t xml:space="preserve">A látványképek és háttérfotók nagy mentéseket okoznak, a tárhelykvóta betelhet.</t>
  </si>
  <si>
    <t xml:space="preserve">A projekt méretének kijelzése, figyelmeztetés kvóta közelében, képek külön kezelése.</t>
  </si>
  <si>
    <t xml:space="preserve">Akadálymentesség: a rajz főleg érintéssel vagy egérrel használható. A nagybetűs gombfeliratok és a halvány szövegek kontrasztja gyenge lehet.</t>
  </si>
  <si>
    <t xml:space="preserve">WCAG AA kontrasztellenőrzés. Elemmozgatás billentyűzettel. Képernyőolvasó-próba.</t>
  </si>
  <si>
    <t xml:space="preserve">A hibák csak rövid felugró üzenetként jelennek meg, központi hibakezelés nincs.</t>
  </si>
  <si>
    <t xml:space="preserve">Hibakezelő képernyő érthető szöveggel és mentési lehetőséggel (a 9. ponttal együtt).</t>
  </si>
  <si>
    <t xml:space="preserve">Low</t>
  </si>
  <si>
    <t xml:space="preserve">Az npm audit 4 alacsony súlyosságú sebezhetőséget jelez (deepmerge, a PWA build-bővítmény alatt). Ez csak build közben fut, a kész alkalmazásba nem kerül be.</t>
  </si>
  <si>
    <t xml:space="preserve">Rendszeres npm audit, automatikus függőségfrissítés (Dependabot).</t>
  </si>
  <si>
    <t xml:space="preserve">A megosztott link lejárat nélkül tartalmazza a tervet, jegyzetekkel együtt.</t>
  </si>
  <si>
    <t xml:space="preserve">Figyelmeztetés megosztás előtt, jegyzetek kihagyása opcióként.</t>
  </si>
  <si>
    <t xml:space="preserve">A „Küldés a ChatGPT-nek” felirat a ChatGPT védjegyet használja.</t>
  </si>
  <si>
    <t xml:space="preserve">Megjegyzés, hogy az alkalmazás nem kapcsolódik az OpenAI-hoz.</t>
  </si>
  <si>
    <t xml:space="preserve">A mappanév és a törlés megerősítése a böngésző beépített ablakaiban jelenik meg, iPhone-on csúnyán.</t>
  </si>
  <si>
    <t xml:space="preserve">Saját, egységes párbeszédablak.</t>
  </si>
  <si>
    <t xml:space="preserve">Az árak (K-08) dátum nélkül szerepelnek, elavulhatnak. Nincs többeszközös szinkron.</t>
  </si>
  <si>
    <t xml:space="preserve">Árdátum és frissítési lehetőség. Később opcionális szinkron (pl. fájl vagy felhő).</t>
  </si>
  <si>
    <t xml:space="preserve">Javaslatok száma kategória és fontosság szerint</t>
  </si>
  <si>
    <t xml:space="preserve">Összesen</t>
  </si>
  <si>
    <t xml:space="preserve">Ebből kész</t>
  </si>
  <si>
    <t xml:space="preserve">A számok a Javaslatok lap Kategória, Fontosság és Állapot oszlopából számolódnak; ott módosítva frissülnek.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</si>
</sst>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73A28"/>
      <name val="Arial"/>
      <family val="0"/>
      <charset val="1"/>
    </font>
    <font>
      <i val="true"/>
      <sz val="9"/>
      <color rgb="FF5F6F6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73A28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73A28"/>
        <bgColor rgb="FF003300"/>
      </patternFill>
    </fill>
    <fill>
      <patternFill patternType="solid">
        <fgColor rgb="FFFFE699"/>
        <bgColor rgb="FFFFE7A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73A2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F4B6B0"/>
          <bgColor rgb="FF000000"/>
        </patternFill>
      </fill>
    </dxf>
    <dxf>
      <fill>
        <patternFill patternType="solid">
          <fgColor rgb="FFFFE7A8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>
          <bgColor rgb="FFF4B6B0"/>
        </patternFill>
      </fill>
    </dxf>
    <dxf>
      <fill>
        <patternFill>
          <bgColor rgb="FFFFE7A8"/>
        </patternFill>
      </fill>
    </dxf>
    <dxf>
      <fill>
        <patternFill>
          <bgColor rgb="FFD9EAD3"/>
        </patternFill>
      </fill>
    </dxf>
    <dxf>
      <font>
        <strike val="1"/>
        <color rgb="FF80808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E69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E7A8"/>
      <rgbColor rgb="FF99CCFF"/>
      <rgbColor rgb="FFFF99CC"/>
      <rgbColor rgb="FFCC99FF"/>
      <rgbColor rgb="FFF4B6B0"/>
      <rgbColor rgb="FF3366FF"/>
      <rgbColor rgb="FF33CCCC"/>
      <rgbColor rgb="FF99CC00"/>
      <rgbColor rgb="FFFFCC00"/>
      <rgbColor rgb="FFFF9900"/>
      <rgbColor rgb="FFFF6600"/>
      <rgbColor rgb="FF5F6F6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73A2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0"/>
    <col collapsed="false" customWidth="true" hidden="false" outlineLevel="0" max="3" min="3" style="1" width="11"/>
    <col collapsed="false" customWidth="true" hidden="false" outlineLevel="0" max="5" min="4" style="1" width="60"/>
    <col collapsed="false" customWidth="true" hidden="false" outlineLevel="0" max="6" min="6" style="1" width="14"/>
    <col collapsed="false" customWidth="true" hidden="false" outlineLevel="0" max="7" min="7" style="1" width="30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</row>
    <row r="4" customFormat="false" ht="21.7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5" t="s">
        <v>7</v>
      </c>
      <c r="G4" s="5" t="s">
        <v>8</v>
      </c>
    </row>
    <row r="5" customFormat="false" ht="34.5" hidden="false" customHeight="true" outlineLevel="0" collapsed="false">
      <c r="A5" s="6" t="n">
        <v>1</v>
      </c>
      <c r="B5" s="7" t="s">
        <v>9</v>
      </c>
      <c r="C5" s="6" t="s">
        <v>10</v>
      </c>
      <c r="D5" s="7" t="s">
        <v>11</v>
      </c>
      <c r="E5" s="7" t="s">
        <v>12</v>
      </c>
      <c r="F5" s="7" t="s">
        <v>13</v>
      </c>
      <c r="G5" s="7" t="s">
        <v>14</v>
      </c>
    </row>
    <row r="6" customFormat="false" ht="34.5" hidden="false" customHeight="true" outlineLevel="0" collapsed="false">
      <c r="A6" s="6" t="n">
        <v>2</v>
      </c>
      <c r="B6" s="7" t="s">
        <v>15</v>
      </c>
      <c r="C6" s="6" t="s">
        <v>10</v>
      </c>
      <c r="D6" s="7" t="s">
        <v>16</v>
      </c>
      <c r="E6" s="7" t="s">
        <v>17</v>
      </c>
      <c r="F6" s="7" t="s">
        <v>13</v>
      </c>
      <c r="G6" s="7" t="s">
        <v>18</v>
      </c>
    </row>
    <row r="7" customFormat="false" ht="34.5" hidden="false" customHeight="true" outlineLevel="0" collapsed="false">
      <c r="A7" s="6" t="n">
        <v>3</v>
      </c>
      <c r="B7" s="7" t="s">
        <v>15</v>
      </c>
      <c r="C7" s="6" t="s">
        <v>10</v>
      </c>
      <c r="D7" s="7" t="s">
        <v>19</v>
      </c>
      <c r="E7" s="7" t="s">
        <v>20</v>
      </c>
      <c r="F7" s="7" t="s">
        <v>21</v>
      </c>
      <c r="G7" s="7"/>
    </row>
    <row r="8" customFormat="false" ht="45.75" hidden="false" customHeight="true" outlineLevel="0" collapsed="false">
      <c r="A8" s="6" t="n">
        <v>4</v>
      </c>
      <c r="B8" s="7" t="s">
        <v>15</v>
      </c>
      <c r="C8" s="6" t="s">
        <v>10</v>
      </c>
      <c r="D8" s="7" t="s">
        <v>22</v>
      </c>
      <c r="E8" s="7" t="s">
        <v>23</v>
      </c>
      <c r="F8" s="7" t="s">
        <v>13</v>
      </c>
      <c r="G8" s="7" t="s">
        <v>24</v>
      </c>
    </row>
    <row r="9" customFormat="false" ht="34.5" hidden="false" customHeight="true" outlineLevel="0" collapsed="false">
      <c r="A9" s="6" t="n">
        <v>5</v>
      </c>
      <c r="B9" s="7" t="s">
        <v>15</v>
      </c>
      <c r="C9" s="6" t="s">
        <v>10</v>
      </c>
      <c r="D9" s="7" t="s">
        <v>25</v>
      </c>
      <c r="E9" s="7" t="s">
        <v>26</v>
      </c>
      <c r="F9" s="7" t="s">
        <v>13</v>
      </c>
      <c r="G9" s="7" t="s">
        <v>27</v>
      </c>
    </row>
    <row r="10" customFormat="false" ht="23.25" hidden="false" customHeight="true" outlineLevel="0" collapsed="false">
      <c r="A10" s="6" t="n">
        <v>6</v>
      </c>
      <c r="B10" s="7" t="s">
        <v>15</v>
      </c>
      <c r="C10" s="6" t="s">
        <v>10</v>
      </c>
      <c r="D10" s="7" t="s">
        <v>28</v>
      </c>
      <c r="E10" s="7" t="s">
        <v>29</v>
      </c>
      <c r="F10" s="7" t="s">
        <v>30</v>
      </c>
      <c r="G10" s="7" t="s">
        <v>31</v>
      </c>
    </row>
    <row r="11" customFormat="false" ht="23.25" hidden="false" customHeight="true" outlineLevel="0" collapsed="false">
      <c r="A11" s="6" t="n">
        <v>7</v>
      </c>
      <c r="B11" s="7" t="s">
        <v>32</v>
      </c>
      <c r="C11" s="6" t="s">
        <v>10</v>
      </c>
      <c r="D11" s="7" t="s">
        <v>33</v>
      </c>
      <c r="E11" s="7" t="s">
        <v>34</v>
      </c>
      <c r="F11" s="7" t="s">
        <v>21</v>
      </c>
      <c r="G11" s="7"/>
    </row>
    <row r="12" customFormat="false" ht="23.25" hidden="false" customHeight="true" outlineLevel="0" collapsed="false">
      <c r="A12" s="6" t="n">
        <v>8</v>
      </c>
      <c r="B12" s="7" t="s">
        <v>35</v>
      </c>
      <c r="C12" s="6" t="s">
        <v>36</v>
      </c>
      <c r="D12" s="7" t="s">
        <v>37</v>
      </c>
      <c r="E12" s="7" t="s">
        <v>38</v>
      </c>
      <c r="F12" s="7" t="s">
        <v>13</v>
      </c>
      <c r="G12" s="7" t="s">
        <v>39</v>
      </c>
    </row>
    <row r="13" customFormat="false" ht="34.5" hidden="false" customHeight="true" outlineLevel="0" collapsed="false">
      <c r="A13" s="6" t="n">
        <v>9</v>
      </c>
      <c r="B13" s="7" t="s">
        <v>35</v>
      </c>
      <c r="C13" s="6" t="s">
        <v>36</v>
      </c>
      <c r="D13" s="7" t="s">
        <v>40</v>
      </c>
      <c r="E13" s="7" t="s">
        <v>41</v>
      </c>
      <c r="F13" s="7" t="s">
        <v>13</v>
      </c>
      <c r="G13" s="7" t="s">
        <v>42</v>
      </c>
    </row>
    <row r="14" customFormat="false" ht="23.25" hidden="false" customHeight="true" outlineLevel="0" collapsed="false">
      <c r="A14" s="6" t="n">
        <v>10</v>
      </c>
      <c r="B14" s="7" t="s">
        <v>35</v>
      </c>
      <c r="C14" s="6" t="s">
        <v>36</v>
      </c>
      <c r="D14" s="7" t="s">
        <v>43</v>
      </c>
      <c r="E14" s="7" t="s">
        <v>44</v>
      </c>
      <c r="F14" s="7" t="s">
        <v>13</v>
      </c>
      <c r="G14" s="7" t="s">
        <v>45</v>
      </c>
    </row>
    <row r="15" customFormat="false" ht="45.75" hidden="false" customHeight="true" outlineLevel="0" collapsed="false">
      <c r="A15" s="6" t="n">
        <v>11</v>
      </c>
      <c r="B15" s="7" t="s">
        <v>15</v>
      </c>
      <c r="C15" s="6" t="s">
        <v>36</v>
      </c>
      <c r="D15" s="7" t="s">
        <v>46</v>
      </c>
      <c r="E15" s="7" t="s">
        <v>47</v>
      </c>
      <c r="F15" s="7" t="s">
        <v>13</v>
      </c>
      <c r="G15" s="7" t="s">
        <v>48</v>
      </c>
    </row>
    <row r="16" customFormat="false" ht="23.25" hidden="false" customHeight="true" outlineLevel="0" collapsed="false">
      <c r="A16" s="6" t="n">
        <v>12</v>
      </c>
      <c r="B16" s="7" t="s">
        <v>15</v>
      </c>
      <c r="C16" s="6" t="s">
        <v>36</v>
      </c>
      <c r="D16" s="7" t="s">
        <v>49</v>
      </c>
      <c r="E16" s="7" t="s">
        <v>50</v>
      </c>
      <c r="F16" s="7" t="s">
        <v>13</v>
      </c>
      <c r="G16" s="7" t="s">
        <v>51</v>
      </c>
    </row>
    <row r="17" customFormat="false" ht="23.25" hidden="false" customHeight="true" outlineLevel="0" collapsed="false">
      <c r="A17" s="6" t="n">
        <v>13</v>
      </c>
      <c r="B17" s="7" t="s">
        <v>15</v>
      </c>
      <c r="C17" s="6" t="s">
        <v>36</v>
      </c>
      <c r="D17" s="7" t="s">
        <v>52</v>
      </c>
      <c r="E17" s="7" t="s">
        <v>53</v>
      </c>
      <c r="F17" s="7" t="s">
        <v>21</v>
      </c>
      <c r="G17" s="7"/>
    </row>
    <row r="18" customFormat="false" ht="23.25" hidden="false" customHeight="true" outlineLevel="0" collapsed="false">
      <c r="A18" s="6" t="n">
        <v>14</v>
      </c>
      <c r="B18" s="7" t="s">
        <v>15</v>
      </c>
      <c r="C18" s="6" t="s">
        <v>36</v>
      </c>
      <c r="D18" s="7" t="s">
        <v>54</v>
      </c>
      <c r="E18" s="7" t="s">
        <v>55</v>
      </c>
      <c r="F18" s="7" t="s">
        <v>21</v>
      </c>
      <c r="G18" s="7"/>
    </row>
    <row r="19" customFormat="false" ht="23.25" hidden="false" customHeight="true" outlineLevel="0" collapsed="false">
      <c r="A19" s="6" t="n">
        <v>15</v>
      </c>
      <c r="B19" s="7" t="s">
        <v>9</v>
      </c>
      <c r="C19" s="6" t="s">
        <v>36</v>
      </c>
      <c r="D19" s="7" t="s">
        <v>56</v>
      </c>
      <c r="E19" s="7" t="s">
        <v>57</v>
      </c>
      <c r="F19" s="7" t="s">
        <v>13</v>
      </c>
      <c r="G19" s="7" t="s">
        <v>58</v>
      </c>
    </row>
    <row r="20" customFormat="false" ht="15" hidden="false" customHeight="true" outlineLevel="0" collapsed="false">
      <c r="A20" s="6" t="n">
        <v>16</v>
      </c>
      <c r="B20" s="7" t="s">
        <v>9</v>
      </c>
      <c r="C20" s="6" t="s">
        <v>36</v>
      </c>
      <c r="D20" s="7" t="s">
        <v>59</v>
      </c>
      <c r="E20" s="7" t="s">
        <v>60</v>
      </c>
      <c r="F20" s="7" t="s">
        <v>30</v>
      </c>
      <c r="G20" s="7" t="s">
        <v>61</v>
      </c>
    </row>
    <row r="21" customFormat="false" ht="23.25" hidden="false" customHeight="true" outlineLevel="0" collapsed="false">
      <c r="A21" s="6" t="n">
        <v>17</v>
      </c>
      <c r="B21" s="7" t="s">
        <v>9</v>
      </c>
      <c r="C21" s="6" t="s">
        <v>36</v>
      </c>
      <c r="D21" s="7" t="s">
        <v>62</v>
      </c>
      <c r="E21" s="7" t="s">
        <v>63</v>
      </c>
      <c r="F21" s="7" t="s">
        <v>21</v>
      </c>
      <c r="G21" s="7"/>
    </row>
    <row r="22" customFormat="false" ht="15" hidden="false" customHeight="true" outlineLevel="0" collapsed="false">
      <c r="A22" s="6" t="n">
        <v>18</v>
      </c>
      <c r="B22" s="7" t="s">
        <v>32</v>
      </c>
      <c r="C22" s="6" t="s">
        <v>36</v>
      </c>
      <c r="D22" s="7" t="s">
        <v>64</v>
      </c>
      <c r="E22" s="7" t="s">
        <v>65</v>
      </c>
      <c r="F22" s="7" t="s">
        <v>21</v>
      </c>
      <c r="G22" s="7"/>
    </row>
    <row r="23" customFormat="false" ht="23.25" hidden="false" customHeight="true" outlineLevel="0" collapsed="false">
      <c r="A23" s="6" t="n">
        <v>19</v>
      </c>
      <c r="B23" s="7" t="s">
        <v>32</v>
      </c>
      <c r="C23" s="6" t="s">
        <v>36</v>
      </c>
      <c r="D23" s="7" t="s">
        <v>66</v>
      </c>
      <c r="E23" s="7" t="s">
        <v>67</v>
      </c>
      <c r="F23" s="7" t="s">
        <v>13</v>
      </c>
      <c r="G23" s="7" t="s">
        <v>68</v>
      </c>
    </row>
    <row r="24" customFormat="false" ht="23.25" hidden="false" customHeight="true" outlineLevel="0" collapsed="false">
      <c r="A24" s="6" t="n">
        <v>20</v>
      </c>
      <c r="B24" s="7" t="s">
        <v>32</v>
      </c>
      <c r="C24" s="6" t="s">
        <v>36</v>
      </c>
      <c r="D24" s="7" t="s">
        <v>69</v>
      </c>
      <c r="E24" s="7" t="s">
        <v>70</v>
      </c>
      <c r="F24" s="7" t="s">
        <v>21</v>
      </c>
      <c r="G24" s="7"/>
    </row>
    <row r="25" customFormat="false" ht="23.25" hidden="false" customHeight="true" outlineLevel="0" collapsed="false">
      <c r="A25" s="6" t="n">
        <v>21</v>
      </c>
      <c r="B25" s="7" t="s">
        <v>32</v>
      </c>
      <c r="C25" s="6" t="s">
        <v>36</v>
      </c>
      <c r="D25" s="7" t="s">
        <v>71</v>
      </c>
      <c r="E25" s="7" t="s">
        <v>72</v>
      </c>
      <c r="F25" s="7" t="s">
        <v>21</v>
      </c>
      <c r="G25" s="7"/>
    </row>
    <row r="26" customFormat="false" ht="23.25" hidden="false" customHeight="true" outlineLevel="0" collapsed="false">
      <c r="A26" s="6" t="n">
        <v>22</v>
      </c>
      <c r="B26" s="7" t="s">
        <v>32</v>
      </c>
      <c r="C26" s="6" t="s">
        <v>36</v>
      </c>
      <c r="D26" s="7" t="s">
        <v>73</v>
      </c>
      <c r="E26" s="7" t="s">
        <v>74</v>
      </c>
      <c r="F26" s="7" t="s">
        <v>21</v>
      </c>
      <c r="G26" s="7"/>
    </row>
    <row r="27" customFormat="false" ht="34.5" hidden="false" customHeight="true" outlineLevel="0" collapsed="false">
      <c r="A27" s="6" t="n">
        <v>23</v>
      </c>
      <c r="B27" s="7" t="s">
        <v>35</v>
      </c>
      <c r="C27" s="6" t="s">
        <v>75</v>
      </c>
      <c r="D27" s="7" t="s">
        <v>76</v>
      </c>
      <c r="E27" s="7" t="s">
        <v>77</v>
      </c>
      <c r="F27" s="7" t="s">
        <v>21</v>
      </c>
      <c r="G27" s="7"/>
    </row>
    <row r="28" customFormat="false" ht="15" hidden="false" customHeight="true" outlineLevel="0" collapsed="false">
      <c r="A28" s="6" t="n">
        <v>24</v>
      </c>
      <c r="B28" s="7" t="s">
        <v>35</v>
      </c>
      <c r="C28" s="6" t="s">
        <v>75</v>
      </c>
      <c r="D28" s="7" t="s">
        <v>78</v>
      </c>
      <c r="E28" s="7" t="s">
        <v>79</v>
      </c>
      <c r="F28" s="7" t="s">
        <v>21</v>
      </c>
      <c r="G28" s="7"/>
    </row>
    <row r="29" customFormat="false" ht="15" hidden="false" customHeight="true" outlineLevel="0" collapsed="false">
      <c r="A29" s="6" t="n">
        <v>25</v>
      </c>
      <c r="B29" s="7" t="s">
        <v>15</v>
      </c>
      <c r="C29" s="6" t="s">
        <v>75</v>
      </c>
      <c r="D29" s="7" t="s">
        <v>80</v>
      </c>
      <c r="E29" s="7" t="s">
        <v>81</v>
      </c>
      <c r="F29" s="7" t="s">
        <v>21</v>
      </c>
      <c r="G29" s="7"/>
    </row>
    <row r="30" customFormat="false" ht="23.25" hidden="false" customHeight="true" outlineLevel="0" collapsed="false">
      <c r="A30" s="6" t="n">
        <v>26</v>
      </c>
      <c r="B30" s="7" t="s">
        <v>32</v>
      </c>
      <c r="C30" s="6" t="s">
        <v>75</v>
      </c>
      <c r="D30" s="7" t="s">
        <v>82</v>
      </c>
      <c r="E30" s="7" t="s">
        <v>83</v>
      </c>
      <c r="F30" s="7" t="s">
        <v>21</v>
      </c>
      <c r="G30" s="7"/>
    </row>
    <row r="31" customFormat="false" ht="23.25" hidden="false" customHeight="true" outlineLevel="0" collapsed="false">
      <c r="A31" s="6" t="n">
        <v>27</v>
      </c>
      <c r="B31" s="7" t="s">
        <v>9</v>
      </c>
      <c r="C31" s="6" t="s">
        <v>75</v>
      </c>
      <c r="D31" s="7" t="s">
        <v>84</v>
      </c>
      <c r="E31" s="7" t="s">
        <v>85</v>
      </c>
      <c r="F31" s="7" t="s">
        <v>21</v>
      </c>
      <c r="G31" s="7"/>
    </row>
  </sheetData>
  <autoFilter ref="A4:G31"/>
  <mergeCells count="2">
    <mergeCell ref="A1:G1"/>
    <mergeCell ref="A2:G2"/>
  </mergeCells>
  <conditionalFormatting sqref="C5:C31">
    <cfRule type="expression" priority="2" aboveAverage="0" equalAverage="0" bottom="0" percent="0" rank="0" text="" dxfId="9">
      <formula>$C5="High"</formula>
    </cfRule>
    <cfRule type="expression" priority="3" aboveAverage="0" equalAverage="0" bottom="0" percent="0" rank="0" text="" dxfId="10">
      <formula>$C5="Normal"</formula>
    </cfRule>
    <cfRule type="expression" priority="4" aboveAverage="0" equalAverage="0" bottom="0" percent="0" rank="0" text="" dxfId="11">
      <formula>$C5="Low"</formula>
    </cfRule>
  </conditionalFormatting>
  <conditionalFormatting sqref="A5:G31">
    <cfRule type="expression" priority="5" aboveAverage="0" equalAverage="0" bottom="0" percent="0" rank="0" text="" dxfId="12">
      <formula>$F5="Kész"</formula>
    </cfRule>
  </conditionalFormatting>
  <dataValidations count="1">
    <dataValidation allowBlank="true" errorStyle="stop" operator="between" showDropDown="false" showErrorMessage="false" showInputMessage="false" sqref="F5:F31" type="list">
      <formula1>"Nyitott,Folyamatban,Kész,Elvetve"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6" min="2" style="1" width="13"/>
  </cols>
  <sheetData>
    <row r="1" customFormat="false" ht="15" hidden="false" customHeight="true" outlineLevel="0" collapsed="false">
      <c r="A1" s="8" t="s">
        <v>86</v>
      </c>
    </row>
    <row r="3" customFormat="false" ht="15" hidden="false" customHeight="true" outlineLevel="0" collapsed="false">
      <c r="A3" s="9" t="s">
        <v>3</v>
      </c>
      <c r="B3" s="9" t="s">
        <v>10</v>
      </c>
      <c r="C3" s="9" t="s">
        <v>36</v>
      </c>
      <c r="D3" s="9" t="s">
        <v>75</v>
      </c>
      <c r="E3" s="9" t="s">
        <v>87</v>
      </c>
      <c r="F3" s="9" t="s">
        <v>88</v>
      </c>
    </row>
    <row r="4" customFormat="false" ht="15" hidden="false" customHeight="true" outlineLevel="0" collapsed="false">
      <c r="A4" s="10" t="s">
        <v>32</v>
      </c>
      <c r="B4" s="11" t="n">
        <f aca="false">COUNTIFS(Javaslatok!$B$5:$B$31,$A4,Javaslatok!$C$5:$C$31,B$3)</f>
        <v>1</v>
      </c>
      <c r="C4" s="11" t="n">
        <f aca="false">COUNTIFS(Javaslatok!$B$5:$B$31,$A4,Javaslatok!$C$5:$C$31,C$3)</f>
        <v>5</v>
      </c>
      <c r="D4" s="11" t="n">
        <f aca="false">COUNTIFS(Javaslatok!$B$5:$B$31,$A4,Javaslatok!$C$5:$C$31,D$3)</f>
        <v>1</v>
      </c>
      <c r="E4" s="11" t="n">
        <f aca="false">SUM(B4:D4)</f>
        <v>7</v>
      </c>
      <c r="F4" s="11" t="n">
        <f aca="false">COUNTIFS(Javaslatok!$B$5:$B$31,$A4,Javaslatok!$F$5:$F$31,"Kész")</f>
        <v>1</v>
      </c>
    </row>
    <row r="5" customFormat="false" ht="15" hidden="false" customHeight="true" outlineLevel="0" collapsed="false">
      <c r="A5" s="10" t="s">
        <v>9</v>
      </c>
      <c r="B5" s="11" t="n">
        <f aca="false">COUNTIFS(Javaslatok!$B$5:$B$31,$A5,Javaslatok!$C$5:$C$31,B$3)</f>
        <v>1</v>
      </c>
      <c r="C5" s="11" t="n">
        <f aca="false">COUNTIFS(Javaslatok!$B$5:$B$31,$A5,Javaslatok!$C$5:$C$31,C$3)</f>
        <v>3</v>
      </c>
      <c r="D5" s="11" t="n">
        <f aca="false">COUNTIFS(Javaslatok!$B$5:$B$31,$A5,Javaslatok!$C$5:$C$31,D$3)</f>
        <v>1</v>
      </c>
      <c r="E5" s="11" t="n">
        <f aca="false">SUM(B5:D5)</f>
        <v>5</v>
      </c>
      <c r="F5" s="11" t="n">
        <f aca="false">COUNTIFS(Javaslatok!$B$5:$B$31,$A5,Javaslatok!$F$5:$F$31,"Kész")</f>
        <v>2</v>
      </c>
    </row>
    <row r="6" customFormat="false" ht="15" hidden="false" customHeight="true" outlineLevel="0" collapsed="false">
      <c r="A6" s="10" t="s">
        <v>35</v>
      </c>
      <c r="B6" s="11" t="n">
        <f aca="false">COUNTIFS(Javaslatok!$B$5:$B$31,$A6,Javaslatok!$C$5:$C$31,B$3)</f>
        <v>0</v>
      </c>
      <c r="C6" s="11" t="n">
        <f aca="false">COUNTIFS(Javaslatok!$B$5:$B$31,$A6,Javaslatok!$C$5:$C$31,C$3)</f>
        <v>3</v>
      </c>
      <c r="D6" s="11" t="n">
        <f aca="false">COUNTIFS(Javaslatok!$B$5:$B$31,$A6,Javaslatok!$C$5:$C$31,D$3)</f>
        <v>2</v>
      </c>
      <c r="E6" s="11" t="n">
        <f aca="false">SUM(B6:D6)</f>
        <v>5</v>
      </c>
      <c r="F6" s="11" t="n">
        <f aca="false">COUNTIFS(Javaslatok!$B$5:$B$31,$A6,Javaslatok!$F$5:$F$31,"Kész")</f>
        <v>3</v>
      </c>
    </row>
    <row r="7" customFormat="false" ht="15" hidden="false" customHeight="true" outlineLevel="0" collapsed="false">
      <c r="A7" s="10" t="s">
        <v>15</v>
      </c>
      <c r="B7" s="11" t="n">
        <f aca="false">COUNTIFS(Javaslatok!$B$5:$B$31,$A7,Javaslatok!$C$5:$C$31,B$3)</f>
        <v>5</v>
      </c>
      <c r="C7" s="11" t="n">
        <f aca="false">COUNTIFS(Javaslatok!$B$5:$B$31,$A7,Javaslatok!$C$5:$C$31,C$3)</f>
        <v>4</v>
      </c>
      <c r="D7" s="11" t="n">
        <f aca="false">COUNTIFS(Javaslatok!$B$5:$B$31,$A7,Javaslatok!$C$5:$C$31,D$3)</f>
        <v>1</v>
      </c>
      <c r="E7" s="11" t="n">
        <f aca="false">SUM(B7:D7)</f>
        <v>10</v>
      </c>
      <c r="F7" s="11" t="n">
        <f aca="false">COUNTIFS(Javaslatok!$B$5:$B$31,$A7,Javaslatok!$F$5:$F$31,"Kész")</f>
        <v>5</v>
      </c>
    </row>
    <row r="8" customFormat="false" ht="15" hidden="false" customHeight="true" outlineLevel="0" collapsed="false">
      <c r="A8" s="12" t="s">
        <v>87</v>
      </c>
      <c r="B8" s="13" t="n">
        <f aca="false">SUM(B4:B7)</f>
        <v>7</v>
      </c>
      <c r="C8" s="13" t="n">
        <f aca="false">SUM(C4:C7)</f>
        <v>15</v>
      </c>
      <c r="D8" s="13" t="n">
        <f aca="false">SUM(D4:D7)</f>
        <v>5</v>
      </c>
      <c r="E8" s="13" t="n">
        <f aca="false">SUM(E4:E7)</f>
        <v>27</v>
      </c>
      <c r="F8" s="13" t="n">
        <f aca="false">SUM(F4:F7)</f>
        <v>11</v>
      </c>
    </row>
    <row r="10" customFormat="false" ht="15" hidden="false" customHeight="true" outlineLevel="0" collapsed="false">
      <c r="A10" s="14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2026-10-30T14:00:18Z</dcterms:created>
  <dc:creator>openpyxl</dc:creator>
  <dc:description/>
  <dc:language>en-US</dc:language>
  <cp:lastModifiedBy/>
  <dcterms:modified xsi:type="dcterms:W3CDTF">2026-10-30T14:38:12Z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